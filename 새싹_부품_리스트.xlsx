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MAC Sheet" lastEdited="7" lowestEdited="7" rupBuild=""/>
  <workbookPr/>
  <bookViews>
    <workbookView xWindow="360" yWindow="30" windowWidth="25755" windowHeight="11595" activeTab="0"/>
  </bookViews>
  <sheets>
    <sheet name="시트1" sheetId="1" r:id="rId1"/>
  </sheets>
  <definedNames/>
  <calcPr calcId="152511"/>
</workbook>
</file>

<file path=xl/sharedStrings.xml><?xml version="1.0" encoding="utf-8"?>
<sst xmlns="http://schemas.openxmlformats.org/spreadsheetml/2006/main" count="67" uniqueCount="67">
  <si>
    <t xml:space="preserve">BUDGET: </t>
  </si>
  <si>
    <t>no.</t>
  </si>
  <si>
    <t>품목명</t>
  </si>
  <si>
    <t xml:space="preserve">개수 </t>
  </si>
  <si>
    <t>단가</t>
  </si>
  <si>
    <t>금액</t>
  </si>
  <si>
    <t>구매처</t>
  </si>
  <si>
    <t>디바이스마트</t>
  </si>
  <si>
    <t xml:space="preserve">TOTAL : </t>
  </si>
  <si>
    <t>*품목 추가 원할 시 중간에 행 삽입 (서식 유지)</t>
  </si>
  <si>
    <t xml:space="preserve">TEAM :  </t>
  </si>
  <si>
    <t>[SeSAC 모빌리티 AI SW 애플리케이션 개발 프로젝트]</t>
  </si>
  <si>
    <t>쿠팡</t>
  </si>
  <si>
    <t>기타</t>
  </si>
  <si>
    <t>비고</t>
  </si>
  <si>
    <t>링크</t>
  </si>
  <si>
    <t>B. 파란색 고무 휠 이중</t>
  </si>
  <si>
    <t>라이다 (라즈베리파이용)</t>
  </si>
  <si>
    <t>VAT 포함</t>
  </si>
  <si>
    <t>https://www.devicemart.co.kr/goods/view?no=1149202</t>
  </si>
  <si>
    <t>5V 5A UPS</t>
  </si>
  <si>
    <t>후행 RC카 키트 (B. 파란색 고무 휠 이중)</t>
  </si>
  <si>
    <t>AA 건전지 (02. AA 24알 + AA 24알)</t>
  </si>
  <si>
    <t>02. AA 24알 + AA 24알</t>
  </si>
  <si>
    <r>
      <rPr>
        <sz val="10"/>
        <color rgb="FF000000"/>
        <rFont val="Malgun Gothic"/>
      </rPr>
      <t>개포동</t>
    </r>
    <r>
      <rPr>
        <sz val="10"/>
        <color rgb="FF000000"/>
        <rFont val="Arial"/>
      </rPr>
      <t xml:space="preserve"> </t>
    </r>
    <r>
      <rPr>
        <sz val="10"/>
        <color rgb="FF000000"/>
        <rFont val="Malgun Gothic"/>
      </rPr>
      <t>잡초</t>
    </r>
  </si>
  <si>
    <t>MEMBERS :  박종범 김유림 엄지혜 유다희</t>
  </si>
  <si>
    <t>TB6600 모터 드라이버</t>
  </si>
  <si>
    <t>https://www.devicemart.co.kr/goods/view?no=15007385</t>
  </si>
  <si>
    <t>STM 보드 캔통신 트랜시버</t>
  </si>
  <si>
    <t>라즈베리파이5</t>
  </si>
  <si>
    <t>+)</t>
  </si>
  <si>
    <t>캔통신 케이블 타입</t>
  </si>
  <si>
    <t>https://www.devicemart.co.kr/goods/view?no=1376646</t>
  </si>
  <si>
    <t>DB9 커넥터 - 암(볼트형)</t>
  </si>
  <si>
    <t>DB9 커넥터 - 수(볼트형)</t>
  </si>
  <si>
    <t>https://www.devicemart.co.kr/goods/view?no=1376644</t>
  </si>
  <si>
    <t>https://www.devicemart.co.kr/goods/view?no=1153807</t>
  </si>
  <si>
    <t>3색 점퍼용 단선</t>
  </si>
  <si>
    <t>https://www.devicemart.co.kr/goods/view?no=15379134</t>
  </si>
  <si>
    <t xml:space="preserve">[Innomaker] USB2CAN Module </t>
  </si>
  <si>
    <t>https://www.devicemart.co.kr/goods/view?no=15583881</t>
  </si>
  <si>
    <t>[Raspberry Pi] 라즈베리파이 AI HAT+ 13TOPS (Raspberry Pi AI HAT+ Hailo-8L)</t>
  </si>
  <si>
    <t>https://www.devicemart.co.kr/goods/view?no=15784218</t>
  </si>
  <si>
    <t>배송비 3000원 포함</t>
  </si>
  <si>
    <t>ST NUCLEO-F439ZI STM32 Nucleo-144 개발 보드</t>
  </si>
  <si>
    <t>https://smartstore.naver.com/naomijell/products/9561481289</t>
  </si>
  <si>
    <t>https://smartstore.naver.com/misoparts/products/7284174785</t>
  </si>
  <si>
    <t>https://www.coupang.com/vp/products/6715643912</t>
  </si>
  <si>
    <t>(선행RC카) 벤츠 지바겐 G63 AA타입 1:14 RC카</t>
  </si>
  <si>
    <t>https://smartstore.naver.com/powerjiggoo/products/13187089093</t>
  </si>
  <si>
    <t>https://www.neromart.co.kr/goods/view?no=20460</t>
  </si>
  <si>
    <t>https://www.devicemart.co.kr/goods/view?no=1323561</t>
  </si>
  <si>
    <t>m3 서포트 키트</t>
  </si>
  <si>
    <t>https://www.devicemart.co.kr/goods/view?no=12383235</t>
  </si>
  <si>
    <t>3D 필라멘트 - Black</t>
  </si>
  <si>
    <t>Black, VAT 포함</t>
  </si>
  <si>
    <t>https://icfactory.co.kr/product/detail.html?product_no=1709</t>
  </si>
  <si>
    <t>라즈베리파이 카메라 브라켓</t>
  </si>
  <si>
    <t>https://www.coupang.com/vp/products/8427726478?itemId=24379351616&amp;searchId=feed-f1abfe00352148358e5f66b9bdd5c89f-3.3.37%3Aview_together_ads-P6211119595&amp;vendorItemId=91394465314&amp;sourceType=SDP_ADS&amp;clickEventId=c5698ff0-299d-11f1-a5a4-ecab0275ebfb</t>
  </si>
  <si>
    <t>양면테이프</t>
  </si>
  <si>
    <t>https://www.devicemart.co.kr/goods/view?no=1342473</t>
  </si>
  <si>
    <t>플라스틱 플레이트</t>
  </si>
  <si>
    <t>https://www.devicemart.co.kr/goods/view?no=1323562</t>
  </si>
  <si>
    <t>m2 서포트 키트</t>
  </si>
  <si>
    <t>usb 허브</t>
  </si>
  <si>
    <t>https://www.devicemart.co.kr/goods/view?no=10969899</t>
  </si>
  <si>
    <t>https://www.coupang.com/vp/products/8427726478</t>
  </si>
</sst>
</file>

<file path=xl/styles.xml><?xml version="1.0" encoding="utf-8"?>
<styleSheet xmlns="http://schemas.openxmlformats.org/spreadsheetml/2006/main">
  <numFmts count="1">
    <numFmt numFmtId="176" formatCode="[$₩]#,##0"/>
  </numFmts>
  <fonts count="36">
    <font>
      <sz val="10.0"/>
      <name val="Arial"/>
      <scheme val="minor"/>
      <color rgb="FF000000"/>
    </font>
    <font>
      <b/>
      <sz val="10.0"/>
      <name val="Noto Sans SC"/>
      <color theme="1"/>
    </font>
    <font>
      <i/>
      <sz val="10.0"/>
      <name val="Noto Sans SC"/>
      <color rgb="FFD9D9D9"/>
    </font>
    <font>
      <sz val="10.0"/>
      <name val="Noto Sans SC"/>
      <color theme="1"/>
    </font>
    <font>
      <sz val="10.0"/>
      <name val="Arial"/>
      <scheme val="minor"/>
      <color theme="1"/>
    </font>
    <font>
      <sz val="10.0"/>
      <name val="Arial"/>
      <color rgb="FF000000"/>
    </font>
    <font>
      <u/>
      <sz val="10.0"/>
      <name val="Arial"/>
      <scheme val="minor"/>
      <color theme="10"/>
    </font>
    <font>
      <b/>
      <sz val="10.0"/>
      <name val="Arial"/>
      <scheme val="minor"/>
      <color theme="1"/>
    </font>
    <font>
      <sz val="10.0"/>
      <name val="맑은 고딕"/>
      <color rgb="FF000000"/>
    </font>
    <font>
      <b/>
      <sz val="10.0"/>
      <name val="맑은 고딕"/>
      <color theme="1"/>
    </font>
    <font>
      <sz val="10.0"/>
      <name val="맑은 고딕"/>
      <color theme="1"/>
    </font>
    <font>
      <b/>
      <sz val="10.0"/>
      <name val="맑은 고딕"/>
      <color rgb="FF000000"/>
    </font>
    <font>
      <sz val="10.0"/>
      <name val="맑은 고딕"/>
      <color rgb="FFB7B7B7"/>
    </font>
    <font>
      <b/>
      <sz val="11.0"/>
      <name val="맑은 고딕"/>
      <color theme="1"/>
    </font>
    <font>
      <sz val="10.0"/>
      <name val="맑은 고딕"/>
      <color theme="5"/>
    </font>
    <font>
      <sz val="10.0"/>
      <name val="Malgun Gothic"/>
      <color rgb="FF000000"/>
    </font>
    <font>
      <u/>
      <sz val="11.0"/>
      <name val="Arial"/>
      <scheme val="minor"/>
      <color theme="11"/>
    </font>
    <font>
      <u/>
      <sz val="10.0"/>
      <name val="맑은 고딕"/>
      <color theme="10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sz val="11.0"/>
      <name val="Arial"/>
      <scheme val="minor"/>
      <color theme="1"/>
    </font>
    <font>
      <i/>
      <sz val="11.0"/>
      <name val="Arial"/>
      <scheme val="minor"/>
      <color rgb="FF7F7F7F"/>
    </font>
    <font>
      <u/>
      <sz val="10.0"/>
      <name val="맑은 고딕"/>
      <color theme="10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5"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/>
      <bottom style="thin">
        <color rgb="FFFFFFFF"/>
      </bottom>
    </border>
    <border>
      <left/>
      <right/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D9D9D9"/>
      </bottom>
    </border>
    <border>
      <left/>
      <right/>
      <top style="thin">
        <color rgb="FFFFFFFF"/>
      </top>
      <bottom style="thin">
        <color rgb="FFD9D9D9"/>
      </bottom>
    </border>
    <border>
      <left/>
      <right style="thin">
        <color rgb="FFFFFFFF"/>
      </right>
      <top style="thin">
        <color rgb="FFFFFFFF"/>
      </top>
      <bottom style="thin">
        <color rgb="FFD9D9D9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0" borderId="0" applyAlignment="0" applyBorder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3" borderId="16" applyAlignment="0" applyFont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20" fillId="0" borderId="17" applyAlignment="0" applyFill="0" applyNumberFormat="0" applyProtection="0">
      <alignment vertical="center"/>
    </xf>
    <xf numFmtId="0" fontId="21" fillId="0" borderId="18" applyAlignment="0" applyFill="0" applyNumberFormat="0" applyProtection="0">
      <alignment vertical="center"/>
    </xf>
    <xf numFmtId="0" fontId="22" fillId="0" borderId="19" applyAlignment="0" applyFill="0" applyNumberFormat="0" applyProtection="0">
      <alignment vertical="center"/>
    </xf>
    <xf numFmtId="0" fontId="22" fillId="0" borderId="0" applyAlignment="0" applyBorder="0" applyFill="0" applyNumberFormat="0" applyProtection="0">
      <alignment vertical="center"/>
    </xf>
    <xf numFmtId="0" fontId="23" fillId="4" borderId="20" applyAlignment="0" applyNumberFormat="0" applyProtection="0">
      <alignment vertical="center"/>
    </xf>
    <xf numFmtId="0" fontId="24" fillId="5" borderId="21" applyAlignment="0" applyNumberFormat="0" applyProtection="0">
      <alignment vertical="center"/>
    </xf>
    <xf numFmtId="0" fontId="25" fillId="5" borderId="20" applyAlignment="0" applyNumberFormat="0" applyProtection="0">
      <alignment vertical="center"/>
    </xf>
    <xf numFmtId="0" fontId="26" fillId="6" borderId="22" applyAlignment="0" applyNumberFormat="0" applyProtection="0">
      <alignment vertical="center"/>
    </xf>
    <xf numFmtId="0" fontId="27" fillId="0" borderId="23" applyAlignment="0" applyFill="0" applyNumberFormat="0" applyProtection="0">
      <alignment vertical="center"/>
    </xf>
    <xf numFmtId="0" fontId="28" fillId="0" borderId="24" applyAlignment="0" applyFill="0" applyNumberFormat="0" applyProtection="0">
      <alignment vertical="center"/>
    </xf>
    <xf numFmtId="0" fontId="29" fillId="7" borderId="0" applyAlignment="0" applyBorder="0" applyNumberFormat="0" applyProtection="0">
      <alignment vertical="center"/>
    </xf>
    <xf numFmtId="0" fontId="30" fillId="8" borderId="0" applyAlignment="0" applyBorder="0" applyNumberFormat="0" applyProtection="0">
      <alignment vertical="center"/>
    </xf>
    <xf numFmtId="0" fontId="31" fillId="9" borderId="0" applyAlignment="0" applyBorder="0" applyNumberFormat="0" applyProtection="0">
      <alignment vertical="center"/>
    </xf>
    <xf numFmtId="0" fontId="32" fillId="10" borderId="0" applyAlignment="0" applyBorder="0" applyNumberFormat="0" applyProtection="0">
      <alignment vertical="center"/>
    </xf>
    <xf numFmtId="0" fontId="33" fillId="11" borderId="0" applyAlignment="0" applyBorder="0" applyNumberFormat="0" applyProtection="0">
      <alignment vertical="center"/>
    </xf>
    <xf numFmtId="0" fontId="33" fillId="12" borderId="0" applyAlignment="0" applyBorder="0" applyNumberFormat="0" applyProtection="0">
      <alignment vertical="center"/>
    </xf>
    <xf numFmtId="0" fontId="32" fillId="13" borderId="0" applyAlignment="0" applyBorder="0" applyNumberFormat="0" applyProtection="0">
      <alignment vertical="center"/>
    </xf>
    <xf numFmtId="0" fontId="32" fillId="14" borderId="0" applyAlignment="0" applyBorder="0" applyNumberFormat="0" applyProtection="0">
      <alignment vertical="center"/>
    </xf>
    <xf numFmtId="0" fontId="33" fillId="15" borderId="0" applyAlignment="0" applyBorder="0" applyNumberFormat="0" applyProtection="0">
      <alignment vertical="center"/>
    </xf>
    <xf numFmtId="0" fontId="33" fillId="16" borderId="0" applyAlignment="0" applyBorder="0" applyNumberFormat="0" applyProtection="0">
      <alignment vertical="center"/>
    </xf>
    <xf numFmtId="0" fontId="32" fillId="17" borderId="0" applyAlignment="0" applyBorder="0" applyNumberFormat="0" applyProtection="0">
      <alignment vertical="center"/>
    </xf>
    <xf numFmtId="0" fontId="32" fillId="18" borderId="0" applyAlignment="0" applyBorder="0" applyNumberFormat="0" applyProtection="0">
      <alignment vertical="center"/>
    </xf>
    <xf numFmtId="0" fontId="33" fillId="19" borderId="0" applyAlignment="0" applyBorder="0" applyNumberFormat="0" applyProtection="0">
      <alignment vertical="center"/>
    </xf>
    <xf numFmtId="0" fontId="33" fillId="20" borderId="0" applyAlignment="0" applyBorder="0" applyNumberFormat="0" applyProtection="0">
      <alignment vertical="center"/>
    </xf>
    <xf numFmtId="0" fontId="32" fillId="21" borderId="0" applyAlignment="0" applyBorder="0" applyNumberFormat="0" applyProtection="0">
      <alignment vertical="center"/>
    </xf>
    <xf numFmtId="0" fontId="32" fillId="22" borderId="0" applyAlignment="0" applyBorder="0" applyNumberFormat="0" applyProtection="0">
      <alignment vertical="center"/>
    </xf>
    <xf numFmtId="0" fontId="33" fillId="23" borderId="0" applyAlignment="0" applyBorder="0" applyNumberFormat="0" applyProtection="0">
      <alignment vertical="center"/>
    </xf>
    <xf numFmtId="0" fontId="33" fillId="24" borderId="0" applyAlignment="0" applyBorder="0" applyNumberFormat="0" applyProtection="0">
      <alignment vertical="center"/>
    </xf>
    <xf numFmtId="0" fontId="32" fillId="25" borderId="0" applyAlignment="0" applyBorder="0" applyNumberFormat="0" applyProtection="0">
      <alignment vertical="center"/>
    </xf>
    <xf numFmtId="0" fontId="32" fillId="26" borderId="0" applyAlignment="0" applyBorder="0" applyNumberFormat="0" applyProtection="0">
      <alignment vertical="center"/>
    </xf>
    <xf numFmtId="0" fontId="33" fillId="27" borderId="0" applyAlignment="0" applyBorder="0" applyNumberFormat="0" applyProtection="0">
      <alignment vertical="center"/>
    </xf>
    <xf numFmtId="0" fontId="33" fillId="28" borderId="0" applyAlignment="0" applyBorder="0" applyNumberFormat="0" applyProtection="0">
      <alignment vertical="center"/>
    </xf>
    <xf numFmtId="0" fontId="32" fillId="29" borderId="0" applyAlignment="0" applyBorder="0" applyNumberFormat="0" applyProtection="0">
      <alignment vertical="center"/>
    </xf>
    <xf numFmtId="0" fontId="32" fillId="30" borderId="0" applyAlignment="0" applyBorder="0" applyNumberFormat="0" applyProtection="0">
      <alignment vertical="center"/>
    </xf>
    <xf numFmtId="0" fontId="33" fillId="31" borderId="0" applyAlignment="0" applyBorder="0" applyNumberFormat="0" applyProtection="0">
      <alignment vertical="center"/>
    </xf>
    <xf numFmtId="0" fontId="33" fillId="32" borderId="0" applyAlignment="0" applyBorder="0" applyNumberFormat="0" applyProtection="0">
      <alignment vertical="center"/>
    </xf>
    <xf numFmtId="0" fontId="32" fillId="33" borderId="0" applyAlignment="0" applyBorder="0" applyNumberFormat="0" applyProtection="0">
      <alignment vertical="center"/>
    </xf>
    <xf numFmtId="0" fontId="34" fillId="0" borderId="0" applyAlignment="0" applyBorder="0" applyFill="0" applyNumberFormat="0" applyProtection="0">
      <alignment vertical="center"/>
    </xf>
  </cellStyleXfs>
  <cellXfs count="49">
    <xf numFmtId="0" fontId="0" fillId="0" borderId="0" xfId="0" applyAlignment="1"/>
    <xf numFmtId="0" fontId="1" fillId="0" borderId="1" xfId="0" applyBorder="1" applyAlignment="1">
      <alignment vertical="top"/>
    </xf>
    <xf numFmtId="0" fontId="2" fillId="0" borderId="1" xfId="0" applyBorder="1" applyAlignment="1">
      <alignment vertical="top"/>
    </xf>
    <xf numFmtId="0" fontId="3" fillId="0" borderId="1" xfId="0" applyBorder="1" applyAlignment="1"/>
    <xf numFmtId="0" fontId="4" fillId="0" borderId="1" xfId="0" applyBorder="1" applyAlignment="1"/>
    <xf numFmtId="0" fontId="3" fillId="0" borderId="2" xfId="0" applyBorder="1" applyAlignment="1"/>
    <xf numFmtId="0" fontId="3" fillId="0" borderId="3" xfId="0" applyBorder="1" applyAlignment="1"/>
    <xf numFmtId="0" fontId="3" fillId="0" borderId="7" xfId="0" applyBorder="1" applyAlignment="1"/>
    <xf numFmtId="0" fontId="7" fillId="0" borderId="1" xfId="0" applyBorder="1" applyAlignment="1">
      <alignment vertical="top"/>
    </xf>
    <xf numFmtId="0" fontId="7" fillId="0" borderId="1" xfId="0" applyBorder="1" applyAlignment="1">
      <alignment horizontal="center" vertical="top"/>
    </xf>
    <xf numFmtId="0" fontId="4" fillId="0" borderId="1" xfId="0" applyBorder="1" applyAlignment="1">
      <alignment horizontal="center"/>
    </xf>
    <xf numFmtId="0" fontId="3" fillId="0" borderId="2" xfId="0" applyBorder="1" applyAlignment="1">
      <alignment horizontal="center"/>
    </xf>
    <xf numFmtId="0" fontId="3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1" xfId="0" applyBorder="1" applyAlignment="1">
      <alignment horizontal="right"/>
    </xf>
    <xf numFmtId="176" fontId="9" fillId="0" borderId="11" xfId="0" applyNumberFormat="1" applyBorder="1" applyAlignment="1"/>
    <xf numFmtId="0" fontId="10" fillId="0" borderId="11" xfId="0" applyBorder="1" applyAlignment="1">
      <alignment horizontal="center"/>
    </xf>
    <xf numFmtId="0" fontId="10" fillId="0" borderId="11" xfId="0" applyBorder="1" applyAlignment="1"/>
    <xf numFmtId="0" fontId="11" fillId="2" borderId="4" xfId="0" applyFill="1" applyBorder="1" applyAlignment="1">
      <alignment horizontal="center"/>
    </xf>
    <xf numFmtId="0" fontId="8" fillId="0" borderId="4" xfId="0" applyBorder="1" applyAlignment="1">
      <alignment horizontal="center"/>
    </xf>
    <xf numFmtId="176" fontId="8" fillId="0" borderId="4" xfId="0" applyNumberFormat="1" applyBorder="1">
      <alignment vertical="center"/>
    </xf>
    <xf numFmtId="0" fontId="8" fillId="0" borderId="4" xfId="0" applyBorder="1" applyAlignment="1"/>
    <xf numFmtId="0" fontId="8" fillId="0" borderId="4" xfId="0" applyBorder="1" applyAlignment="1">
      <alignment horizontal="center" vertical="center"/>
    </xf>
    <xf numFmtId="0" fontId="9" fillId="0" borderId="1" xfId="0" applyBorder="1" applyAlignment="1">
      <alignment vertical="top"/>
    </xf>
    <xf numFmtId="0" fontId="10" fillId="0" borderId="1" xfId="0" applyBorder="1" applyAlignment="1"/>
    <xf numFmtId="0" fontId="12" fillId="0" borderId="1" xfId="0" applyBorder="1" applyAlignment="1">
      <alignment horizontal="left"/>
    </xf>
    <xf numFmtId="0" fontId="9" fillId="0" borderId="1" xfId="0" applyBorder="1" applyAlignment="1">
      <alignment horizontal="right" vertical="top"/>
    </xf>
    <xf numFmtId="176" fontId="9" fillId="0" borderId="0" xfId="0" applyNumberFormat="1" applyAlignment="1">
      <alignment horizontal="right" vertical="top"/>
    </xf>
    <xf numFmtId="0" fontId="8" fillId="0" borderId="5" xfId="0" applyBorder="1" applyAlignment="1">
      <alignment horizontal="left" vertical="center"/>
    </xf>
    <xf numFmtId="0" fontId="8" fillId="0" borderId="6" xfId="0" applyBorder="1" applyAlignment="1">
      <alignment horizontal="left" vertical="center"/>
    </xf>
    <xf numFmtId="0" fontId="5" fillId="0" borderId="0" xfId="0" applyAlignment="1"/>
    <xf numFmtId="0" fontId="6" fillId="0" borderId="4" xfId="1" applyBorder="1" applyAlignment="1"/>
    <xf numFmtId="0" fontId="3" fillId="0" borderId="1" xfId="0" quotePrefix="1" applyBorder="1" applyAlignment="1"/>
    <xf numFmtId="0" fontId="17" fillId="0" borderId="4" xfId="0" applyBorder="1" applyAlignment="1"/>
    <xf numFmtId="0" fontId="13" fillId="0" borderId="3" xfId="0" applyBorder="1" applyAlignment="1">
      <alignment vertical="top"/>
    </xf>
    <xf numFmtId="0" fontId="13" fillId="0" borderId="15" xfId="0" applyBorder="1" applyAlignment="1">
      <alignment vertical="top"/>
    </xf>
    <xf numFmtId="0" fontId="13" fillId="0" borderId="7" xfId="0" applyBorder="1" applyAlignment="1">
      <alignment vertical="top"/>
    </xf>
    <xf numFmtId="0" fontId="9" fillId="0" borderId="3" xfId="0" applyBorder="1" applyAlignment="1">
      <alignment horizontal="left"/>
    </xf>
    <xf numFmtId="0" fontId="9" fillId="0" borderId="7" xfId="0" applyBorder="1" applyAlignment="1">
      <alignment horizontal="left"/>
    </xf>
    <xf numFmtId="0" fontId="9" fillId="0" borderId="12" xfId="0" applyBorder="1" applyAlignment="1">
      <alignment vertical="top"/>
    </xf>
    <xf numFmtId="0" fontId="9" fillId="0" borderId="13" xfId="0" applyBorder="1" applyAlignment="1">
      <alignment vertical="top"/>
    </xf>
    <xf numFmtId="0" fontId="9" fillId="0" borderId="14" xfId="0" applyBorder="1" applyAlignment="1">
      <alignment vertical="top"/>
    </xf>
    <xf numFmtId="0" fontId="11" fillId="2" borderId="5" xfId="0" applyFill="1" applyBorder="1" applyAlignment="1">
      <alignment horizontal="center"/>
    </xf>
    <xf numFmtId="0" fontId="8" fillId="0" borderId="6" xfId="0" applyBorder="1" applyAlignment="1"/>
    <xf numFmtId="0" fontId="14" fillId="0" borderId="8" xfId="0" applyBorder="1" applyAlignment="1"/>
    <xf numFmtId="0" fontId="14" fillId="0" borderId="9" xfId="0" applyBorder="1" applyAlignment="1"/>
    <xf numFmtId="0" fontId="14" fillId="0" borderId="10" xfId="0" applyBorder="1" applyAlignment="1"/>
    <xf numFmtId="0" fontId="5" fillId="0" borderId="7" xfId="0" applyBorder="1" applyAlignment="1"/>
    <xf numFmtId="0" fontId="35" fillId="0" borderId="4" xfId="0" applyBorder="1" applyAlignment="1"/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3" builtinId="3"/>
    <cellStyle name="Comma [0]" xfId="6" builtinId="6"/>
    <cellStyle name="Currency" xfId="4" builtinId="4"/>
    <cellStyle name="Currency [0]" xfId="7" builtinId="7"/>
    <cellStyle name="Explanatory Text" xfId="48" builtinId="53"/>
    <cellStyle name="Good" xfId="21" builtinId="26"/>
    <cellStyle name="Heading 1" xfId="11" builtinId="16"/>
    <cellStyle name="Heading 2" xfId="12" builtinId="17"/>
    <cellStyle name="Heading 3" xfId="13" builtinId="18"/>
    <cellStyle name="Heading 4" xfId="14" builtinId="19"/>
    <cellStyle name="Input" xfId="15" builtinId="20"/>
    <cellStyle name="Linked Cell" xfId="19" builtinId="24"/>
    <cellStyle name="Neutral" xfId="23" builtinId="28"/>
    <cellStyle name="Note" xfId="8" builtinId="10"/>
    <cellStyle name="Output" xfId="16" builtinId="21"/>
    <cellStyle name="Percent" xfId="5" builtinId="5"/>
    <cellStyle name="Title" xfId="10" builtinId="15"/>
    <cellStyle name="Total" xfId="20" builtinId="25"/>
    <cellStyle name="Warning Text" xfId="9" builtinId="11"/>
    <cellStyle name="열어 본 하이퍼링크" xfId="2" builtinId="9" hidden="1"/>
    <cellStyle name="표준" xfId="0" builtinId="0"/>
    <cellStyle name="하이퍼링크" xfId="1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https://smartstore.naver.com/powerjiggoo/products/13187089093?is_retargeting=true&amp;af_dp=navershopping%3A%2F%2F&amp;c=260101_p_Naver_product&amp;pid=Naver&amp;deep_link_value=https%3A%2F%2Fsmartstore.naver.com%2Fpowerjiggoo%2Fproducts%2F13187089093%3Fka_ref%3Dkakao%26ka_req_id%3DgG5Sg-Oyia43E4sn2RHAAA%26ka_template%3Ddefault&amp;dtm_source=KK&amp;dtm_detail=gG5Sg-Oyia43E4sn2RHAAA&amp;dtm_campaign=default&amp;dtm_medium=OG" TargetMode="External"></Relationship><Relationship Id="rId2" Type="http://schemas.openxmlformats.org/officeDocument/2006/relationships/hyperlink" Target="https://www.devicemart.co.kr/goods/view?no=15583881" TargetMode="External"></Relationship><Relationship Id="rId3" Type="http://schemas.openxmlformats.org/officeDocument/2006/relationships/hyperlink" Target="https://smartstore.naver.com/misoparts/products/7284174785?NaPm=ct%3Dmn5w2brs%7Cci%3Ded7f5b92a1b05115458ad34c9a8aedbb6af18e77%7Ctr%3Dslsl%7Csn%3D1956020%7Chk%3Daa5208b12668350b31b64c42c65e6687223ed79b&amp;amp;amp;nl-query=TB6600" TargetMode="External"></Relationship><Relationship Id="rId4" Type="http://schemas.openxmlformats.org/officeDocument/2006/relationships/hyperlink" Target="https://www.devicemart.co.kr/goods/view?no=15007385" TargetMode="External"></Relationship><Relationship Id="rId5" Type="http://schemas.openxmlformats.org/officeDocument/2006/relationships/hyperlink" Target="https://www.neromart.co.kr/goods/view?no=20460" TargetMode="External"></Relationship><Relationship Id="rId6" Type="http://schemas.openxmlformats.org/officeDocument/2006/relationships/hyperlink" Target="https://www.devicemart.co.kr/goods/view?no=15784218&amp;amp;amp;srsltid=AfmBOoqUtaHBuFnCSFgRO34NJhA7yiCkOuOE_fxOsYmdNIgChTd5Mctw" TargetMode="External"></Relationship><Relationship Id="rId7" Type="http://schemas.openxmlformats.org/officeDocument/2006/relationships/hyperlink" Target="https://www.devicemart.co.kr/goods/view?no=1376644" TargetMode="External"></Relationship><Relationship Id="rId8" Type="http://schemas.openxmlformats.org/officeDocument/2006/relationships/hyperlink" Target="https://www.devicemart.co.kr/goods/view?no=1149202" TargetMode="External"></Relationship><Relationship Id="rId9" Type="http://schemas.openxmlformats.org/officeDocument/2006/relationships/hyperlink" Target="https://www.devicemart.co.kr/goods/view?no=15583881" TargetMode="External"></Relationship><Relationship Id="rId10" Type="http://schemas.openxmlformats.org/officeDocument/2006/relationships/hyperlink" Target="https://smartstore.naver.com/naomijell/products/9561481289?NaPm=ct%3Dmn5hb2rs%7Cci%3D50f8828294695a223af260df32e8aa8f457e364b%7Ctr%3Dslsf%7Csn%3D1762536%7Chk%3D11f9d41f0f3a96f7f10b3ac125cb0f416f16571f&amp;amp;nl-au=c4533a00cdab431b99b9ee601cb5baa9&amp;amp;nl-query=aa+&#44148;&#51204;&#51648;" TargetMode="External"></Relationship><Relationship Id="rId11" Type="http://schemas.openxmlformats.org/officeDocument/2006/relationships/hyperlink" Target="https://www.devicemart.co.kr/goods/view?no=1153807" TargetMode="External"></Relationship><Relationship Id="rId12" Type="http://schemas.openxmlformats.org/officeDocument/2006/relationships/hyperlink" Target="https://www.coupang.com/vp/products/8427726478?itemId=24379351616&amp;searchId=feed-f1abfe00352148358e5f66b9bdd5c89f-3.3.37%3Aview_together_ads-P6211119595&amp;vendorItemId=91394465314&amp;sourceType=SDP_ADS&amp;clickEventId=c5698ff0-299d-11f1-a5a4-ecab0275ebfb" TargetMode="Externa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opLeftCell="A2" showGridLines="0" tabSelected="1" zoomScale="90" zoomScaleNormal="90" workbookViewId="0">
      <selection activeCell="I33" sqref="I33"/>
    </sheetView>
  </sheetViews>
  <sheetFormatPr defaultColWidth="12.66406250" defaultRowHeight="15.750000" customHeight="1"/>
  <cols>
    <col min="1" max="1" width="5.71928583" customWidth="1" outlineLevel="0"/>
    <col min="2" max="2" width="7.71928583" customWidth="1" outlineLevel="0"/>
    <col min="3" max="3" width="5.86214290" customWidth="1" outlineLevel="0"/>
    <col min="4" max="4" width="36.14785658" customWidth="1" outlineLevel="0"/>
    <col min="5" max="5" width="8.29071413" customWidth="1" outlineLevel="0"/>
    <col min="6" max="7" width="14.14785753" customWidth="1" outlineLevel="0"/>
    <col min="8" max="8" style="13" width="14.14785753" customWidth="1" outlineLevel="0"/>
    <col min="9" max="9" width="27.00499998" customWidth="1" outlineLevel="0"/>
    <col min="10" max="10" width="59.86214338" customWidth="1" outlineLevel="0"/>
    <col min="11" max="11" width="8.86214243" customWidth="1" outlineLevel="0"/>
  </cols>
  <sheetData>
    <row r="1" spans="1:11" ht="14.000000">
      <c r="B1" s="8"/>
      <c r="C1" s="8"/>
      <c r="D1" s="8"/>
      <c r="E1" s="8"/>
      <c r="F1" s="8"/>
      <c r="G1" s="8"/>
      <c r="H1" s="9"/>
      <c r="I1" s="8"/>
      <c r="J1" s="8"/>
      <c r="K1" s="1"/>
    </row>
    <row r="2" spans="1:11" ht="17.000000">
      <c r="A2" s="2"/>
      <c r="B2" s="34" t="s">
        <v>11</v>
      </c>
      <c r="C2" s="35"/>
      <c r="D2" s="35"/>
      <c r="E2" s="36"/>
      <c r="F2" s="23"/>
      <c r="G2" s="23"/>
      <c r="H2" s="9"/>
      <c r="I2" s="8"/>
      <c r="J2" s="8"/>
      <c r="K2" s="1"/>
    </row>
    <row r="3" spans="1:11" ht="12.450000" customHeight="1">
      <c r="A3" s="3"/>
      <c r="B3" s="24"/>
      <c r="C3" s="24"/>
      <c r="D3" s="24"/>
      <c r="E3" s="24"/>
      <c r="F3" s="24"/>
      <c r="G3" s="24"/>
      <c r="H3" s="10"/>
      <c r="I3" s="4"/>
      <c r="J3" s="4"/>
      <c r="K3" s="3"/>
    </row>
    <row r="4" spans="1:11" ht="16.750000" customHeight="1">
      <c r="A4" s="3"/>
      <c r="B4" s="37" t="s">
        <v>10</v>
      </c>
      <c r="C4" s="38"/>
      <c r="D4" s="30" t="s">
        <v>24</v>
      </c>
      <c r="E4" s="25"/>
      <c r="H4" s="10"/>
      <c r="I4" s="4"/>
      <c r="J4" s="4"/>
      <c r="K4" s="3"/>
    </row>
    <row r="5" spans="1:11" ht="22.750000" customHeight="1">
      <c r="A5" s="3"/>
      <c r="B5" s="39" t="s">
        <v>25</v>
      </c>
      <c r="C5" s="40"/>
      <c r="D5" s="40"/>
      <c r="E5" s="41"/>
      <c r="F5" s="26" t="s">
        <v>0</v>
      </c>
      <c r="G5" s="27">
        <f>1000000-G33</f>
        <v>251900</v>
      </c>
      <c r="H5" s="11"/>
      <c r="I5" s="5"/>
      <c r="J5" s="5"/>
      <c r="K5" s="3"/>
    </row>
    <row r="6" spans="1:11" ht="15.000000">
      <c r="A6" s="6"/>
      <c r="B6" s="18" t="s">
        <v>1</v>
      </c>
      <c r="C6" s="42" t="s">
        <v>2</v>
      </c>
      <c r="D6" s="43"/>
      <c r="E6" s="18" t="s">
        <v>3</v>
      </c>
      <c r="F6" s="18" t="s">
        <v>4</v>
      </c>
      <c r="G6" s="18" t="s">
        <v>5</v>
      </c>
      <c r="H6" s="18" t="s">
        <v>6</v>
      </c>
      <c r="I6" s="18" t="s">
        <v>14</v>
      </c>
      <c r="J6" s="18" t="s">
        <v>15</v>
      </c>
      <c r="K6" s="7"/>
    </row>
    <row r="7" spans="1:11" ht="15.000000">
      <c r="A7" s="6"/>
      <c r="B7" s="19">
        <v>1</v>
      </c>
      <c r="C7" s="28" t="s">
        <v>48</v>
      </c>
      <c r="D7" s="29"/>
      <c r="E7" s="22">
        <v>1</v>
      </c>
      <c r="F7" s="20">
        <v>45570</v>
      </c>
      <c r="G7" s="20">
        <f>E7*F7</f>
        <v>45570</v>
      </c>
      <c r="H7" s="19" t="s">
        <v>12</v>
      </c>
      <c r="I7" s="21"/>
      <c r="J7" s="33" t="s">
        <v>47</v>
      </c>
      <c r="K7" s="7"/>
    </row>
    <row r="8" spans="1:11" ht="15.000000">
      <c r="A8" s="6"/>
      <c r="B8" s="19">
        <v>2</v>
      </c>
      <c r="C8" s="28" t="s">
        <v>21</v>
      </c>
      <c r="D8" s="29"/>
      <c r="E8" s="22">
        <v>1</v>
      </c>
      <c r="F8" s="20">
        <v>110650</v>
      </c>
      <c r="G8" s="20">
        <f>E8*F8</f>
        <v>110650</v>
      </c>
      <c r="H8" s="19" t="s">
        <v>13</v>
      </c>
      <c r="I8" s="21" t="s">
        <v>16</v>
      </c>
      <c r="J8" s="31" t="s">
        <v>49</v>
      </c>
      <c r="K8" s="7"/>
    </row>
    <row r="9" spans="1:11" ht="15.000000">
      <c r="A9" s="6"/>
      <c r="B9" s="19">
        <v>3</v>
      </c>
      <c r="C9" s="28" t="s">
        <v>44</v>
      </c>
      <c r="D9" s="29"/>
      <c r="E9" s="22">
        <v>1</v>
      </c>
      <c r="F9" s="20">
        <v>50490</v>
      </c>
      <c r="G9" s="20">
        <f>E9*F9</f>
        <v>50490</v>
      </c>
      <c r="H9" s="19" t="s">
        <v>12</v>
      </c>
      <c r="J9" s="33" t="s">
        <v>50</v>
      </c>
      <c r="K9" s="7"/>
    </row>
    <row r="10" spans="1:11" ht="15.000000">
      <c r="A10" s="6"/>
      <c r="B10" s="19">
        <v>4</v>
      </c>
      <c r="C10" s="28" t="s">
        <v>26</v>
      </c>
      <c r="D10" s="29"/>
      <c r="E10" s="22">
        <v>3</v>
      </c>
      <c r="F10" s="20">
        <v>5450</v>
      </c>
      <c r="G10" s="20">
        <f>E10*F10+3000</f>
        <v>19350</v>
      </c>
      <c r="H10" s="19" t="s">
        <v>13</v>
      </c>
      <c r="I10" s="21" t="s">
        <v>43</v>
      </c>
      <c r="J10" s="33" t="s">
        <v>46</v>
      </c>
      <c r="K10" s="7"/>
    </row>
    <row r="11" spans="1:11" ht="15.000000">
      <c r="A11" s="6"/>
      <c r="B11" s="19">
        <v>5</v>
      </c>
      <c r="C11" s="28" t="s">
        <v>28</v>
      </c>
      <c r="D11" s="29"/>
      <c r="E11" s="22">
        <v>2</v>
      </c>
      <c r="F11" s="20">
        <v>9900</v>
      </c>
      <c r="G11" s="20">
        <f>E11*F11</f>
        <v>19800</v>
      </c>
      <c r="H11" s="19" t="s">
        <v>7</v>
      </c>
      <c r="I11" s="21" t="s">
        <v>18</v>
      </c>
      <c r="J11" s="33" t="s">
        <v>27</v>
      </c>
      <c r="K11" s="7"/>
    </row>
    <row r="12" spans="1:11" ht="15.000000">
      <c r="A12" s="6"/>
      <c r="B12" s="19">
        <v>6</v>
      </c>
      <c r="C12" s="28" t="s">
        <v>41</v>
      </c>
      <c r="D12" s="29"/>
      <c r="E12" s="22">
        <v>1</v>
      </c>
      <c r="F12" s="20">
        <v>116600</v>
      </c>
      <c r="G12" s="20">
        <f>E12*F12</f>
        <v>116600</v>
      </c>
      <c r="H12" s="19" t="s">
        <v>7</v>
      </c>
      <c r="I12" s="21" t="s">
        <v>18</v>
      </c>
      <c r="J12" s="33" t="s">
        <v>40</v>
      </c>
      <c r="K12" s="7"/>
    </row>
    <row r="13" spans="1:11" ht="15.000000">
      <c r="A13" s="6"/>
      <c r="B13" s="19">
        <v>7</v>
      </c>
      <c r="C13" s="28" t="s">
        <v>39</v>
      </c>
      <c r="D13" s="29"/>
      <c r="E13" s="22">
        <v>1</v>
      </c>
      <c r="F13" s="20">
        <v>65000</v>
      </c>
      <c r="G13" s="20">
        <f>E13*F13</f>
        <v>65000</v>
      </c>
      <c r="H13" s="19" t="s">
        <v>7</v>
      </c>
      <c r="I13" s="21" t="s">
        <v>18</v>
      </c>
      <c r="J13" s="33" t="s">
        <v>42</v>
      </c>
      <c r="K13" s="7"/>
    </row>
    <row r="14" spans="1:11" ht="15.000000">
      <c r="A14" s="6"/>
      <c r="B14" s="19">
        <v>8</v>
      </c>
      <c r="C14" s="28" t="s">
        <v>34</v>
      </c>
      <c r="D14" s="29"/>
      <c r="E14" s="22">
        <v>2</v>
      </c>
      <c r="F14" s="20">
        <v>4180</v>
      </c>
      <c r="G14" s="20">
        <f>E14*F14</f>
        <v>8360</v>
      </c>
      <c r="H14" s="19" t="s">
        <v>7</v>
      </c>
      <c r="I14" s="21" t="s">
        <v>18</v>
      </c>
      <c r="J14" s="31" t="s">
        <v>32</v>
      </c>
      <c r="K14" s="7"/>
    </row>
    <row r="15" spans="1:11" ht="15.000000">
      <c r="A15" s="6"/>
      <c r="B15" s="19">
        <v>9</v>
      </c>
      <c r="C15" s="28" t="s">
        <v>33</v>
      </c>
      <c r="D15" s="29"/>
      <c r="E15" s="22">
        <v>2</v>
      </c>
      <c r="F15" s="20">
        <v>4180</v>
      </c>
      <c r="G15" s="20">
        <f>E15*F15</f>
        <v>8360</v>
      </c>
      <c r="H15" s="19" t="s">
        <v>7</v>
      </c>
      <c r="I15" s="21" t="s">
        <v>18</v>
      </c>
      <c r="J15" s="33" t="s">
        <v>35</v>
      </c>
      <c r="K15" s="7"/>
    </row>
    <row r="16" spans="1:11" ht="15.000000">
      <c r="A16" s="6"/>
      <c r="B16" s="19">
        <v>10</v>
      </c>
      <c r="C16" s="28" t="s">
        <v>17</v>
      </c>
      <c r="D16" s="29"/>
      <c r="E16" s="22">
        <v>1</v>
      </c>
      <c r="F16" s="20">
        <v>129800</v>
      </c>
      <c r="G16" s="20">
        <f>E16*F16</f>
        <v>129800</v>
      </c>
      <c r="H16" s="19" t="s">
        <v>7</v>
      </c>
      <c r="I16" s="21" t="s">
        <v>18</v>
      </c>
      <c r="J16" s="33" t="s">
        <v>19</v>
      </c>
      <c r="K16" s="7"/>
    </row>
    <row r="17" spans="1:16" ht="15.000000">
      <c r="A17" s="6"/>
      <c r="B17" s="19">
        <v>11</v>
      </c>
      <c r="C17" s="28" t="s">
        <v>22</v>
      </c>
      <c r="D17" s="29"/>
      <c r="E17" s="22">
        <v>1</v>
      </c>
      <c r="F17" s="20">
        <v>13800</v>
      </c>
      <c r="G17" s="20">
        <f>E17*F17</f>
        <v>13800</v>
      </c>
      <c r="H17" s="19" t="s">
        <v>13</v>
      </c>
      <c r="I17" s="21" t="s">
        <v>23</v>
      </c>
      <c r="J17" s="33" t="s">
        <v>45</v>
      </c>
      <c r="K17" s="7"/>
    </row>
    <row r="18" spans="1:16" ht="15.000000">
      <c r="A18" s="6"/>
      <c r="B18" s="19">
        <v>12</v>
      </c>
      <c r="C18" s="28" t="s">
        <v>20</v>
      </c>
      <c r="D18" s="29"/>
      <c r="E18" s="22">
        <v>1</v>
      </c>
      <c r="F18" s="20">
        <v>52800</v>
      </c>
      <c r="G18" s="20">
        <f>E18*F18</f>
        <v>52800</v>
      </c>
      <c r="H18" s="19" t="s">
        <v>7</v>
      </c>
      <c r="I18" s="21" t="s">
        <v>18</v>
      </c>
      <c r="J18" s="31" t="s">
        <v>38</v>
      </c>
      <c r="K18" s="7"/>
      <c r="P18" s="13"/>
    </row>
    <row r="19" spans="1:16" ht="15.000000">
      <c r="A19" s="6"/>
      <c r="B19" s="19">
        <v>13</v>
      </c>
      <c r="C19" s="28" t="s">
        <v>37</v>
      </c>
      <c r="D19" s="29"/>
      <c r="E19" s="22">
        <v>10</v>
      </c>
      <c r="F19" s="20">
        <v>440</v>
      </c>
      <c r="G19" s="20">
        <f>E19*F19</f>
        <v>4400</v>
      </c>
      <c r="H19" s="19" t="s">
        <v>7</v>
      </c>
      <c r="I19" s="21" t="s">
        <v>18</v>
      </c>
      <c r="J19" s="33" t="s">
        <v>36</v>
      </c>
      <c r="K19" s="7"/>
    </row>
    <row r="20" spans="1:16" ht="15.000000">
      <c r="A20" s="6"/>
      <c r="B20" s="19">
        <v>14</v>
      </c>
      <c r="C20" s="28" t="s">
        <v>63</v>
      </c>
      <c r="D20" s="29"/>
      <c r="E20" s="22">
        <v>2</v>
      </c>
      <c r="F20" s="20">
        <v>8800</v>
      </c>
      <c r="G20" s="20">
        <f>E20*F20</f>
        <v>17600</v>
      </c>
      <c r="H20" s="19" t="s">
        <v>7</v>
      </c>
      <c r="I20" s="21" t="s">
        <v>18</v>
      </c>
      <c r="J20" s="33" t="s">
        <v>62</v>
      </c>
      <c r="K20" s="7"/>
    </row>
    <row r="21" spans="1:16" ht="15.000000">
      <c r="A21" s="6"/>
      <c r="B21" s="19">
        <v>15</v>
      </c>
      <c r="C21" s="28" t="s">
        <v>52</v>
      </c>
      <c r="D21" s="29"/>
      <c r="E21" s="22">
        <v>2</v>
      </c>
      <c r="F21" s="20">
        <v>8800</v>
      </c>
      <c r="G21" s="20">
        <f>E21*F21</f>
        <v>17600</v>
      </c>
      <c r="H21" s="19" t="s">
        <v>7</v>
      </c>
      <c r="I21" s="21" t="s">
        <v>18</v>
      </c>
      <c r="J21" s="33" t="s">
        <v>51</v>
      </c>
      <c r="K21" s="7"/>
    </row>
    <row r="22" spans="1:16" ht="15.000000">
      <c r="A22" s="6"/>
      <c r="B22" s="19">
        <v>16</v>
      </c>
      <c r="C22" s="28" t="s">
        <v>54</v>
      </c>
      <c r="D22" s="29"/>
      <c r="E22" s="22">
        <v>1</v>
      </c>
      <c r="F22" s="20">
        <v>25080</v>
      </c>
      <c r="G22" s="20">
        <f>E22*F22</f>
        <v>25080</v>
      </c>
      <c r="H22" s="19" t="s">
        <v>7</v>
      </c>
      <c r="I22" s="21" t="s">
        <v>55</v>
      </c>
      <c r="J22" s="33" t="s">
        <v>53</v>
      </c>
      <c r="K22" s="7"/>
    </row>
    <row r="23" spans="1:16" ht="15.000000">
      <c r="A23" s="6"/>
      <c r="B23" s="19">
        <v>17</v>
      </c>
      <c r="C23" s="28" t="s">
        <v>57</v>
      </c>
      <c r="D23" s="29"/>
      <c r="E23" s="22">
        <v>1</v>
      </c>
      <c r="F23" s="20">
        <v>3000</v>
      </c>
      <c r="G23" s="20">
        <f>E23*F23+3000</f>
        <v>6000</v>
      </c>
      <c r="H23" s="19" t="s">
        <v>13</v>
      </c>
      <c r="I23" s="21" t="s">
        <v>43</v>
      </c>
      <c r="J23" s="31" t="s">
        <v>56</v>
      </c>
      <c r="K23" s="7"/>
    </row>
    <row r="24" spans="1:16">
      <c r="A24" s="6"/>
      <c r="B24" s="19">
        <v>18</v>
      </c>
      <c r="C24" s="28" t="s">
        <v>59</v>
      </c>
      <c r="D24" s="29"/>
      <c r="E24" s="22">
        <v>40</v>
      </c>
      <c r="F24" s="20">
        <v>195</v>
      </c>
      <c r="G24" s="20">
        <f>E24*F24</f>
        <v>7800</v>
      </c>
      <c r="H24" s="19" t="s">
        <v>12</v>
      </c>
      <c r="I24" s="21"/>
      <c r="J24" s="48" t="s">
        <v>66</v>
      </c>
      <c r="K24" s="7"/>
    </row>
    <row r="25" spans="1:16" ht="15.000000">
      <c r="A25" s="6"/>
      <c r="B25" s="19">
        <v>19</v>
      </c>
      <c r="C25" s="28" t="s">
        <v>61</v>
      </c>
      <c r="D25" s="29"/>
      <c r="E25" s="22">
        <v>10</v>
      </c>
      <c r="F25" s="20">
        <v>1430</v>
      </c>
      <c r="G25" s="20">
        <f>E25*F25</f>
        <v>14300</v>
      </c>
      <c r="H25" s="19" t="s">
        <v>7</v>
      </c>
      <c r="I25" s="21" t="s">
        <v>18</v>
      </c>
      <c r="J25" s="33" t="s">
        <v>60</v>
      </c>
      <c r="K25" s="7"/>
    </row>
    <row r="26" spans="1:16" ht="15.000000">
      <c r="A26" s="6"/>
      <c r="B26" s="19">
        <v>20</v>
      </c>
      <c r="C26" s="28" t="s">
        <v>64</v>
      </c>
      <c r="D26" s="29"/>
      <c r="E26" s="22">
        <v>2</v>
      </c>
      <c r="F26" s="20">
        <v>7370</v>
      </c>
      <c r="G26" s="20">
        <f>E26*F26</f>
        <v>14740</v>
      </c>
      <c r="H26" s="19" t="s">
        <v>7</v>
      </c>
      <c r="I26" s="21" t="s">
        <v>18</v>
      </c>
      <c r="J26" s="33" t="s">
        <v>65</v>
      </c>
      <c r="K26" s="7"/>
    </row>
    <row r="27" spans="1:16" ht="15.000000">
      <c r="A27" s="6"/>
      <c r="B27" s="19">
        <v>21</v>
      </c>
      <c r="C27" s="28"/>
      <c r="D27" s="29"/>
      <c r="E27" s="22"/>
      <c r="F27" s="20"/>
      <c r="G27" s="20">
        <f>E27*F27</f>
        <v>0</v>
      </c>
      <c r="H27" s="19"/>
      <c r="I27" s="21"/>
      <c r="J27" s="33"/>
      <c r="K27" s="7"/>
    </row>
    <row r="28" spans="1:16" ht="15.000000">
      <c r="A28" s="6"/>
      <c r="B28" s="19">
        <v>22</v>
      </c>
      <c r="C28" s="28"/>
      <c r="D28" s="29"/>
      <c r="E28" s="22"/>
      <c r="F28" s="20"/>
      <c r="G28" s="20">
        <f>E28*F28</f>
        <v>0</v>
      </c>
      <c r="H28" s="19"/>
      <c r="I28" s="21"/>
      <c r="J28" s="31"/>
      <c r="K28" s="7"/>
    </row>
    <row r="29" spans="1:16" ht="15.000000">
      <c r="A29" s="6"/>
      <c r="B29" s="19">
        <v>23</v>
      </c>
      <c r="C29" s="28"/>
      <c r="D29" s="29"/>
      <c r="E29" s="22"/>
      <c r="F29" s="20"/>
      <c r="G29" s="20">
        <f>E29*F29</f>
        <v>0</v>
      </c>
      <c r="H29" s="19"/>
      <c r="I29" s="21"/>
      <c r="J29" s="21"/>
      <c r="K29" s="7"/>
    </row>
    <row r="30" spans="1:16" ht="15.000000">
      <c r="A30" s="6"/>
      <c r="B30" s="19">
        <v>24</v>
      </c>
      <c r="C30" s="28"/>
      <c r="D30" s="29"/>
      <c r="E30" s="22"/>
      <c r="F30" s="20"/>
      <c r="G30" s="20">
        <f>E30*F30</f>
        <v>0</v>
      </c>
      <c r="H30" s="19"/>
      <c r="I30" s="21"/>
      <c r="J30" s="33"/>
      <c r="K30" s="7"/>
    </row>
    <row r="31" spans="1:16" ht="15.000000">
      <c r="A31" s="6"/>
      <c r="B31" s="19">
        <v>25</v>
      </c>
      <c r="C31" s="28"/>
      <c r="D31" s="29"/>
      <c r="E31" s="22"/>
      <c r="F31" s="20"/>
      <c r="G31" s="20">
        <f>E31*F31</f>
        <v>0</v>
      </c>
      <c r="H31" s="19"/>
      <c r="I31" s="21"/>
      <c r="J31" s="21"/>
      <c r="K31" s="7"/>
    </row>
    <row r="32" spans="1:16" ht="15.000000">
      <c r="A32" s="6"/>
      <c r="B32" s="19">
        <v>26</v>
      </c>
      <c r="C32" s="28"/>
      <c r="D32" s="29"/>
      <c r="E32" s="22"/>
      <c r="F32" s="20"/>
      <c r="G32" s="20">
        <f>E32*F32</f>
        <v>0</v>
      </c>
      <c r="H32" s="19"/>
      <c r="I32" s="21"/>
      <c r="J32" s="21"/>
      <c r="K32" s="7"/>
    </row>
    <row r="33" spans="1:11" ht="15.000000">
      <c r="A33" s="3"/>
      <c r="B33" s="44" t="s">
        <v>9</v>
      </c>
      <c r="C33" s="45"/>
      <c r="D33" s="45"/>
      <c r="E33" s="46"/>
      <c r="F33" s="14" t="s">
        <v>8</v>
      </c>
      <c r="G33" s="15">
        <f>SUM(G7:G32)</f>
        <v>748100</v>
      </c>
      <c r="H33" s="16"/>
      <c r="I33" s="17"/>
      <c r="J33" s="17"/>
      <c r="K33" s="3"/>
    </row>
    <row r="34" spans="1:11" ht="13.000000">
      <c r="A34" s="3"/>
      <c r="B34" s="3"/>
      <c r="C34" s="6"/>
      <c r="D34" s="7"/>
      <c r="E34" s="3"/>
      <c r="F34" s="3"/>
      <c r="G34" s="3"/>
      <c r="H34" s="12"/>
      <c r="I34" s="3"/>
      <c r="J34" s="3"/>
      <c r="K34" s="3"/>
    </row>
    <row r="35" spans="1:11" ht="13.000000">
      <c r="A35" s="3"/>
      <c r="B35" s="32" t="s">
        <v>30</v>
      </c>
      <c r="C35" s="6" t="s">
        <v>29</v>
      </c>
      <c r="D35" s="47"/>
      <c r="E35" s="3"/>
      <c r="F35" s="3"/>
      <c r="G35" s="3"/>
      <c r="H35" s="12"/>
      <c r="I35" s="3"/>
      <c r="J35" s="3"/>
      <c r="K35" s="3"/>
    </row>
    <row r="36" spans="1:11" ht="13.000000">
      <c r="A36" s="3"/>
      <c r="B36" s="3"/>
      <c r="C36" s="3" t="s">
        <v>31</v>
      </c>
      <c r="D36" s="3"/>
      <c r="E36" s="3"/>
      <c r="F36" s="3"/>
      <c r="G36" s="3"/>
      <c r="H36" s="12"/>
      <c r="I36" s="3"/>
      <c r="J36" s="3"/>
      <c r="K36" s="3"/>
    </row>
  </sheetData>
  <mergeCells count="32">
    <mergeCell ref="B2:E2"/>
    <mergeCell ref="B4:C4"/>
    <mergeCell ref="B5:E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B33:E33"/>
    <mergeCell ref="C34:D34"/>
    <mergeCell ref="C35:D35"/>
  </mergeCells>
  <phoneticPr fontId="1" type="noConversion"/>
  <dataValidations count="1">
    <dataValidation type="list" allowBlank="1" showErrorMessage="1" sqref="H30 H7:H28">
      <formula1>"디바이스마트,쿠팡,기타"</formula1>
    </dataValidation>
  </dataValidations>
  <hyperlinks>
    <hyperlink r:id="rId1" ref="J8"/>
    <hyperlink r:id="rId2" ref="J14"/>
    <hyperlink r:id="rId3" ref="J10"/>
    <hyperlink r:id="rId4" ref="J11"/>
    <hyperlink r:id="rId5" ref="J9"/>
    <hyperlink r:id="rId6" ref="J13"/>
    <hyperlink r:id="rId7" ref="J15"/>
    <hyperlink r:id="rId8" ref="J16"/>
    <hyperlink r:id="rId9" ref="J12"/>
    <hyperlink r:id="rId10" ref="J17"/>
    <hyperlink r:id="rId11" ref="J19"/>
    <hyperlink r:id="rId12" ref="J24"/>
  </hyperlinks>
  <pageMargins left="0.70" right="0.70" top="0.75" bottom="0.75" header="0.30" footer="0.30"/>
  <pageSetup paperSize="9" scale="5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MAC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박종범</cp:lastModifiedBy>
  <dcterms:modified xsi:type="dcterms:W3CDTF">2026-03-27T05:57:01Z</dcterms:modified>
</cp:coreProperties>
</file>